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dbeb19983142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3189e2f7e25240fb"/>
    <x:sheet xmlns:r="http://schemas.openxmlformats.org/officeDocument/2006/relationships" name="Establishments" sheetId="2" r:id="R0fea761143984e0d"/>
    <x:sheet xmlns:r="http://schemas.openxmlformats.org/officeDocument/2006/relationships" name="Landmarks" sheetId="3" r:id="Recdc05b6ff6b4f8e"/>
    <x:sheet xmlns:r="http://schemas.openxmlformats.org/officeDocument/2006/relationships" name="Verification" sheetId="4" r:id="R607e836527d845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7C4A00"/>
      <x:name val="Carlito"/>
    </x:font>
    <x:font>
      <x:b/>
      <x:sz val="11"/>
      <x:color rgb="FF12345A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45A"/>
      </x:patternFill>
    </x:fill>
    <x:fill>
      <x:patternFill patternType="solid">
        <x:fgColor rgb="FFFFF1D0"/>
      </x:patternFill>
    </x:fill>
    <x:fill>
      <x:patternFill patternType="solid">
        <x:fgColor rgb="FFFFF1C7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8736e24f14408a" /><Relationship Type="http://schemas.openxmlformats.org/officeDocument/2006/relationships/theme" Target="/xl/theme/theme1.xml" Id="R388c521098674795" /><Relationship Type="http://schemas.openxmlformats.org/officeDocument/2006/relationships/sharedStrings" Target="/xl/sharedStrings.xml" Id="R0f3b95551166451e" /><Relationship Type="http://schemas.openxmlformats.org/officeDocument/2006/relationships/worksheet" Target="/xl/worksheets/sheet1.xml" Id="R3189e2f7e25240fb" /><Relationship Type="http://schemas.openxmlformats.org/officeDocument/2006/relationships/worksheet" Target="/xl/worksheets/sheet2.xml" Id="R0fea761143984e0d" /><Relationship Type="http://schemas.openxmlformats.org/officeDocument/2006/relationships/worksheet" Target="/xl/worksheets/sheet3.xml" Id="Recdc05b6ff6b4f8e" /><Relationship Type="http://schemas.openxmlformats.org/officeDocument/2006/relationships/worksheet" Target="/xl/worksheets/sheet4.xml" Id="R607e836527d8456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2" hidden="0" customWidth="1"/>
    <x:col min="2" max="2" width="25" hidden="0" customWidth="1"/>
    <x:col min="3" max="3" width="30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38" customHeight="1">
      <x:c r="A1" s="3" t="str">
        <x:v>MACHI KORO 2 • CARD INVENTORY / AUDIT</x:v>
      </x:c>
      <x:c r="B1" s="3"/>
      <x:c r="C1" s="3"/>
      <x:c r="D1" s="3"/>
      <x:c r="E1" s="3"/>
      <x:c r="F1" s="3"/>
      <x:c r="G1" s="3"/>
    </x:row>
    <x:row r="3" ht="30" customHeight="1">
      <x:c r="A3" s="8" t="str">
        <x:v>Metric</x:v>
      </x:c>
      <x:c r="B3" s="8" t="str">
        <x:v>Actual from images</x:v>
      </x:c>
      <x:c r="C3" s="8" t="str">
        <x:v>Rulebook / Required</x:v>
      </x:c>
    </x:row>
    <x:row r="4">
      <x:c r="A4" t="str">
        <x:v>Establishment unique types</x:v>
      </x:c>
      <x:c r="B4" t="n">
        <x:f>COUNTA(Establishments!A5:A24)</x:f>
        <x:v>20</x:v>
      </x:c>
      <x:c r="C4" t="str">
        <x:v>86 copies total</x:v>
      </x:c>
    </x:row>
    <x:row r="5">
      <x:c r="A5" t="str">
        <x:v>Landmark unique types</x:v>
      </x:c>
      <x:c r="B5" t="n">
        <x:f>COUNTA(Landmarks!A5:A27)</x:f>
        <x:v>23</x:v>
      </x:c>
      <x:c r="C5" t="str">
        <x:v>20 landmark cards total</x:v>
      </x:c>
    </x:row>
    <x:row r="6">
      <x:c r="A6" t="str">
        <x:v>Establishment copies entered</x:v>
      </x:c>
      <x:c r="B6" t="n">
        <x:f>COUNT(Establishments!K5:K24)</x:f>
        <x:v>0</x:v>
      </x:c>
      <x:c r="C6" t="str">
        <x:v>20 values required</x:v>
      </x:c>
    </x:row>
    <x:row r="7">
      <x:c r="A7" t="str">
        <x:v>Sum of Establishment copies</x:v>
      </x:c>
      <x:c r="B7" t="n">
        <x:f>SUM(Establishments!K5:K24)</x:f>
        <x:v>0</x:v>
      </x:c>
      <x:c r="C7" t="str">
        <x:v>86 cards required</x:v>
      </x:c>
    </x:row>
    <x:row r="8">
      <x:c r="A8" t="str">
        <x:v>Landmark types selected</x:v>
      </x:c>
      <x:c r="B8" t="n">
        <x:f>COUNTIF(Landmarks!J5:J27,"Yes")</x:f>
        <x:v>0</x:v>
      </x:c>
      <x:c r="C8" t="str">
        <x:v>20 cards / verify pool</x:v>
      </x:c>
    </x:row>
    <x:row r="10" ht="28" customHeight="1">
      <x:c r="A10" s="13" t="str">
        <x:v>UNKNOWN VALUES ARE INTENTIONALLY BLANK • DO NOT SUBSTITUTE OFFICIAL CARD COUNTS</x:v>
      </x:c>
      <x:c r="B10" s="13"/>
      <x:c r="C10" s="13"/>
      <x:c r="D10" s="13"/>
      <x:c r="E10" s="13"/>
      <x:c r="F10" s="13"/>
      <x:c r="G10" s="13"/>
    </x:row>
    <x:row r="12">
      <x:c r="A12" s="16" t="str">
        <x:v>READ FIRST</x:v>
      </x:c>
    </x:row>
    <x:row r="13">
      <x:c r="A13" t="str">
        <x:v>1. Fill Copies (EDIT) for all 20 Establishments.</x:v>
      </x:c>
    </x:row>
    <x:row r="14">
      <x:c r="A14" t="str">
        <x:v>2. Verify which 20 Landmark cards the rulebook means.</x:v>
      </x:c>
    </x:row>
    <x:row r="15">
      <x:c r="A15" t="str">
        <x:v>3. Resolve Loan Office and Park; then start coding.</x:v>
      </x:c>
    </x:row>
  </x:sheetData>
  <x:mergeCells>
    <x:mergeCell ref="A1:G1"/>
    <x:mergeCell ref="A10:G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1" hidden="0" customWidth="1"/>
    <x:col min="2" max="2" width="22" hidden="0" customWidth="1"/>
    <x:col min="3" max="3" width="12" hidden="0" customWidth="1"/>
    <x:col min="4" max="4" width="13" hidden="0" customWidth="1"/>
    <x:col min="5" max="5" width="12" hidden="0" customWidth="1"/>
    <x:col min="6" max="6" width="13" hidden="0" customWidth="1"/>
    <x:col min="7" max="7" width="10" hidden="0" customWidth="1"/>
    <x:col min="8" max="8" width="55" hidden="0" customWidth="1"/>
    <x:col min="9" max="9" width="28" hidden="0" customWidth="1"/>
    <x:col min="10" max="10" width="44" hidden="0" customWidth="1"/>
    <x:col min="11" max="11" width="17" hidden="0" customWidth="1"/>
    <x:col min="12" max="12" width="23" hidden="0" customWidth="1"/>
  </x:cols>
  <x:sheetData>
    <x:row r="1" ht="38" customHeight="1">
      <x:c r="A1" s="3" t="str">
        <x:v>ESTABLISHMENTS • 20 UNIQUE TYPES | COPIES MUST TOTAL 86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3" ht="30" customHeight="1">
      <x:c r="A3" s="8" t="str">
        <x:v>Card ID</x:v>
      </x:c>
      <x:c r="B3" s="8" t="str">
        <x:v>Card name</x:v>
      </x:c>
      <x:c r="C3" s="8" t="str">
        <x:v>Deck</x:v>
      </x:c>
      <x:c r="D3" s="8" t="str">
        <x:v>Color</x:v>
      </x:c>
      <x:c r="E3" s="8" t="str">
        <x:v>Symbol</x:v>
      </x:c>
      <x:c r="F3" s="8" t="str">
        <x:v>Activation</x:v>
      </x:c>
      <x:c r="G3" s="8" t="str">
        <x:v>Cost</x:v>
      </x:c>
      <x:c r="H3" s="8" t="str">
        <x:v>Ability text / meaning</x:v>
      </x:c>
      <x:c r="I3" s="8" t="str">
        <x:v>Effect op (draft)</x:v>
      </x:c>
      <x:c r="J3" s="8" t="str">
        <x:v>Image filename</x:v>
      </x:c>
      <x:c r="K3" s="8" t="str">
        <x:v>Copies (EDIT)</x:v>
      </x:c>
      <x:c r="L3" s="8" t="str">
        <x:v>Status</x:v>
      </x:c>
    </x:row>
    <x:row r="5" ht="38" customHeight="1">
      <x:c r="A5" t="str">
        <x:v>sushi_bar</x:v>
      </x:c>
      <x:c r="B5" t="str">
        <x:v>Sushi Bar</x:v>
      </x:c>
      <x:c r="C5" t="str">
        <x:v>1-6</x:v>
      </x:c>
      <x:c r="D5" t="str">
        <x:v>red</x:v>
      </x:c>
      <x:c r="E5" t="str">
        <x:v>cup</x:v>
      </x:c>
      <x:c r="F5" t="str">
        <x:v>1</x:v>
      </x:c>
      <x:c r="G5" t="n">
        <x:v>2</x:v>
      </x:c>
      <x:c r="H5" s="20" t="str">
        <x:v>Take 3 coins from the active player. (opponent’s turn)</x:v>
      </x:c>
      <x:c r="I5" t="str">
        <x:v>take_from_active</x:v>
      </x:c>
      <x:c r="J5" t="str">
        <x:v>assets/establishments/sushi_bar.jpg</x:v>
      </x:c>
      <x:c r="K5" s="18"/>
      <x:c r="L5" s="20" t="str">
        <x:v>Requires quantity</x:v>
      </x:c>
    </x:row>
    <x:row r="6" ht="38" customHeight="1">
      <x:c r="A6" t="str">
        <x:v>wheat_field</x:v>
      </x:c>
      <x:c r="B6" t="str">
        <x:v>Wheat Field</x:v>
      </x:c>
      <x:c r="C6" t="str">
        <x:v>1-6</x:v>
      </x:c>
      <x:c r="D6" t="str">
        <x:v>blue</x:v>
      </x:c>
      <x:c r="E6" t="str">
        <x:v>wheat</x:v>
      </x:c>
      <x:c r="F6" t="str">
        <x:v>1, 2</x:v>
      </x:c>
      <x:c r="G6" t="n">
        <x:v>1</x:v>
      </x:c>
      <x:c r="H6" s="20" t="str">
        <x:v>Get 1 coin from the bank. (anyone’s turn)</x:v>
      </x:c>
      <x:c r="I6" t="str">
        <x:v>bank_income</x:v>
      </x:c>
      <x:c r="J6" t="str">
        <x:v>assets/establishments/wheat_field.jpg</x:v>
      </x:c>
      <x:c r="K6" s="18"/>
      <x:c r="L6" s="20" t="str">
        <x:v>Requires quantity</x:v>
      </x:c>
    </x:row>
    <x:row r="7" ht="38" customHeight="1">
      <x:c r="A7" t="str">
        <x:v>vineyard</x:v>
      </x:c>
      <x:c r="B7" t="str">
        <x:v>Vineyard</x:v>
      </x:c>
      <x:c r="C7" t="str">
        <x:v>1-6</x:v>
      </x:c>
      <x:c r="D7" t="str">
        <x:v>blue</x:v>
      </x:c>
      <x:c r="E7" t="str">
        <x:v>fruit</x:v>
      </x:c>
      <x:c r="F7" t="str">
        <x:v>2</x:v>
      </x:c>
      <x:c r="G7" t="n">
        <x:v>1</x:v>
      </x:c>
      <x:c r="H7" s="20" t="str">
        <x:v>Get 2 coins from the bank. (anyone’s turn)</x:v>
      </x:c>
      <x:c r="I7" t="str">
        <x:v>bank_income</x:v>
      </x:c>
      <x:c r="J7" t="str">
        <x:v>assets/establishments/vineyard.jpg</x:v>
      </x:c>
      <x:c r="K7" s="18"/>
      <x:c r="L7" s="20" t="str">
        <x:v>Requires quantity</x:v>
      </x:c>
    </x:row>
    <x:row r="8" ht="38" customHeight="1">
      <x:c r="A8" t="str">
        <x:v>bakery</x:v>
      </x:c>
      <x:c r="B8" t="str">
        <x:v>Bakery</x:v>
      </x:c>
      <x:c r="C8" t="str">
        <x:v>1-6</x:v>
      </x:c>
      <x:c r="D8" t="str">
        <x:v>green</x:v>
      </x:c>
      <x:c r="E8" t="str">
        <x:v>shop</x:v>
      </x:c>
      <x:c r="F8" t="str">
        <x:v>2, 3</x:v>
      </x:c>
      <x:c r="G8" t="n">
        <x:v>1</x:v>
      </x:c>
      <x:c r="H8" s="20" t="str">
        <x:v>Get 2 coins from the bank. (your turn only)</x:v>
      </x:c>
      <x:c r="I8" t="str">
        <x:v>bank_income</x:v>
      </x:c>
      <x:c r="J8" t="str">
        <x:v>assets/establishments/bakery.jpg</x:v>
      </x:c>
      <x:c r="K8" s="18"/>
      <x:c r="L8" s="20" t="str">
        <x:v>Requires quantity</x:v>
      </x:c>
    </x:row>
    <x:row r="9" ht="38" customHeight="1">
      <x:c r="A9" t="str">
        <x:v>cafe</x:v>
      </x:c>
      <x:c r="B9" t="str">
        <x:v>Café</x:v>
      </x:c>
      <x:c r="C9" t="str">
        <x:v>1-6</x:v>
      </x:c>
      <x:c r="D9" t="str">
        <x:v>red</x:v>
      </x:c>
      <x:c r="E9" t="str">
        <x:v>cup</x:v>
      </x:c>
      <x:c r="F9" t="str">
        <x:v>3</x:v>
      </x:c>
      <x:c r="G9" t="n">
        <x:v>1</x:v>
      </x:c>
      <x:c r="H9" s="20" t="str">
        <x:v>Take 2 coins from the active player. (opponent’s turn)</x:v>
      </x:c>
      <x:c r="I9" t="str">
        <x:v>take_from_active</x:v>
      </x:c>
      <x:c r="J9" t="str">
        <x:v>assets/establishments/cafe.jpg</x:v>
      </x:c>
      <x:c r="K9" s="18"/>
      <x:c r="L9" s="20" t="str">
        <x:v>Requires quantity</x:v>
      </x:c>
    </x:row>
    <x:row r="10" ht="38" customHeight="1">
      <x:c r="A10" t="str">
        <x:v>convenience_store</x:v>
      </x:c>
      <x:c r="B10" t="str">
        <x:v>Convenience Store</x:v>
      </x:c>
      <x:c r="C10" t="str">
        <x:v>1-6</x:v>
      </x:c>
      <x:c r="D10" t="str">
        <x:v>green</x:v>
      </x:c>
      <x:c r="E10" t="str">
        <x:v>shop</x:v>
      </x:c>
      <x:c r="F10" t="str">
        <x:v>4</x:v>
      </x:c>
      <x:c r="G10" t="n">
        <x:v>1</x:v>
      </x:c>
      <x:c r="H10" s="20" t="str">
        <x:v>Get 3 coins from the bank. (your turn only)</x:v>
      </x:c>
      <x:c r="I10" t="str">
        <x:v>bank_income</x:v>
      </x:c>
      <x:c r="J10" t="str">
        <x:v>assets/establishments/convenience_store.jpg</x:v>
      </x:c>
      <x:c r="K10" s="18"/>
      <x:c r="L10" s="20" t="str">
        <x:v>Requires quantity</x:v>
      </x:c>
    </x:row>
    <x:row r="11" ht="38" customHeight="1">
      <x:c r="A11" t="str">
        <x:v>flower_garden</x:v>
      </x:c>
      <x:c r="B11" t="str">
        <x:v>Flower Garden</x:v>
      </x:c>
      <x:c r="C11" t="str">
        <x:v>1-6</x:v>
      </x:c>
      <x:c r="D11" t="str">
        <x:v>blue</x:v>
      </x:c>
      <x:c r="E11" t="str">
        <x:v>flower</x:v>
      </x:c>
      <x:c r="F11" t="str">
        <x:v>4</x:v>
      </x:c>
      <x:c r="G11" t="n">
        <x:v>2</x:v>
      </x:c>
      <x:c r="H11" s="20" t="str">
        <x:v>Get 2 coins from the bank. (anyone’s turn)</x:v>
      </x:c>
      <x:c r="I11" t="str">
        <x:v>bank_income</x:v>
      </x:c>
      <x:c r="J11" t="str">
        <x:v>assets/establishments/flower_garden.jpg</x:v>
      </x:c>
      <x:c r="K11" s="18"/>
      <x:c r="L11" s="20" t="str">
        <x:v>Requires quantity</x:v>
      </x:c>
    </x:row>
    <x:row r="12" ht="38" customHeight="1">
      <x:c r="A12" t="str">
        <x:v>forest</x:v>
      </x:c>
      <x:c r="B12" t="str">
        <x:v>Forest</x:v>
      </x:c>
      <x:c r="C12" t="str">
        <x:v>1-6</x:v>
      </x:c>
      <x:c r="D12" t="str">
        <x:v>blue</x:v>
      </x:c>
      <x:c r="E12" t="str">
        <x:v>gear</x:v>
      </x:c>
      <x:c r="F12" t="str">
        <x:v>5</x:v>
      </x:c>
      <x:c r="G12" t="n">
        <x:v>3</x:v>
      </x:c>
      <x:c r="H12" s="20" t="str">
        <x:v>Get 2 coins from the bank. (anyone’s turn)</x:v>
      </x:c>
      <x:c r="I12" t="str">
        <x:v>bank_income</x:v>
      </x:c>
      <x:c r="J12" t="str">
        <x:v>assets/establishments/forest.jpg</x:v>
      </x:c>
      <x:c r="K12" s="18"/>
      <x:c r="L12" s="20" t="str">
        <x:v>Requires quantity</x:v>
      </x:c>
    </x:row>
    <x:row r="13" ht="38" customHeight="1">
      <x:c r="A13" t="str">
        <x:v>business_center</x:v>
      </x:c>
      <x:c r="B13" t="str">
        <x:v>Business Center</x:v>
      </x:c>
      <x:c r="C13" t="str">
        <x:v>1-6</x:v>
      </x:c>
      <x:c r="D13" t="str">
        <x:v>purple</x:v>
      </x:c>
      <x:c r="E13" t="str">
        <x:v>major</x:v>
      </x:c>
      <x:c r="F13" t="str">
        <x:v>6</x:v>
      </x:c>
      <x:c r="G13" t="n">
        <x:v>3</x:v>
      </x:c>
      <x:c r="H13" s="20" t="str">
        <x:v>Exchange 1 of your establishments for 1 an opponent owns. (your turn only)</x:v>
      </x:c>
      <x:c r="I13" t="str">
        <x:v>exchange_establishments</x:v>
      </x:c>
      <x:c r="J13" t="str">
        <x:v>assets/establishments/business_center.jpg</x:v>
      </x:c>
      <x:c r="K13" s="18"/>
      <x:c r="L13" s="20" t="str">
        <x:v>Requires quantity</x:v>
      </x:c>
    </x:row>
    <x:row r="14" ht="38" customHeight="1">
      <x:c r="A14" t="str">
        <x:v>flower_shop</x:v>
      </x:c>
      <x:c r="B14" t="str">
        <x:v>Flower Shop</x:v>
      </x:c>
      <x:c r="C14" t="str">
        <x:v>1-6</x:v>
      </x:c>
      <x:c r="D14" t="str">
        <x:v>green</x:v>
      </x:c>
      <x:c r="E14" t="str">
        <x:v>flower</x:v>
      </x:c>
      <x:c r="F14" t="str">
        <x:v>6</x:v>
      </x:c>
      <x:c r="G14" t="n">
        <x:v>1</x:v>
      </x:c>
      <x:c r="H14" s="20" t="str">
        <x:v>Get 3 coins from the bank for each flower-symbol establishment you own. (your turn only)</x:v>
      </x:c>
      <x:c r="I14" t="str">
        <x:v>bank_income_by_symbol</x:v>
      </x:c>
      <x:c r="J14" t="str">
        <x:v>assets/establishments/flower_shop.jpg</x:v>
      </x:c>
      <x:c r="K14" s="18"/>
      <x:c r="L14" s="20" t="str">
        <x:v>Requires quantity</x:v>
      </x:c>
    </x:row>
    <x:row r="15" ht="38" customHeight="1">
      <x:c r="A15" t="str">
        <x:v>corn_field</x:v>
      </x:c>
      <x:c r="B15" t="str">
        <x:v>Corn Field</x:v>
      </x:c>
      <x:c r="C15" t="str">
        <x:v>7-12</x:v>
      </x:c>
      <x:c r="D15" t="str">
        <x:v>blue</x:v>
      </x:c>
      <x:c r="E15" t="str">
        <x:v>wheat</x:v>
      </x:c>
      <x:c r="F15" t="str">
        <x:v>7</x:v>
      </x:c>
      <x:c r="G15" t="n">
        <x:v>2</x:v>
      </x:c>
      <x:c r="H15" s="20" t="str">
        <x:v>Get 3 coins from the bank. (anyone’s turn)</x:v>
      </x:c>
      <x:c r="I15" t="str">
        <x:v>bank_income</x:v>
      </x:c>
      <x:c r="J15" t="str">
        <x:v>assets/establishments/corn_field.jpg</x:v>
      </x:c>
      <x:c r="K15" s="18"/>
      <x:c r="L15" s="20" t="str">
        <x:v>Requires quantity</x:v>
      </x:c>
    </x:row>
    <x:row r="16" ht="38" customHeight="1">
      <x:c r="A16" t="str">
        <x:v>stadium</x:v>
      </x:c>
      <x:c r="B16" t="str">
        <x:v>Stadium</x:v>
      </x:c>
      <x:c r="C16" t="str">
        <x:v>7-12</x:v>
      </x:c>
      <x:c r="D16" t="str">
        <x:v>purple</x:v>
      </x:c>
      <x:c r="E16" t="str">
        <x:v>major</x:v>
      </x:c>
      <x:c r="F16" t="str">
        <x:v>7</x:v>
      </x:c>
      <x:c r="G16" t="n">
        <x:v>3</x:v>
      </x:c>
      <x:c r="H16" s="20" t="str">
        <x:v>Take 3 coins from each opponent. (your turn only)</x:v>
      </x:c>
      <x:c r="I16" t="str">
        <x:v>take_each_opponent</x:v>
      </x:c>
      <x:c r="J16" t="str">
        <x:v>assets/establishments/stadium.jpg</x:v>
      </x:c>
      <x:c r="K16" s="18"/>
      <x:c r="L16" s="20" t="str">
        <x:v>Requires quantity</x:v>
      </x:c>
    </x:row>
    <x:row r="17" ht="38" customHeight="1">
      <x:c r="A17" t="str">
        <x:v>furniture_factory</x:v>
      </x:c>
      <x:c r="B17" t="str">
        <x:v>Furniture Factory</x:v>
      </x:c>
      <x:c r="C17" t="str">
        <x:v>7-12</x:v>
      </x:c>
      <x:c r="D17" t="str">
        <x:v>green</x:v>
      </x:c>
      <x:c r="E17" t="str">
        <x:v>gear</x:v>
      </x:c>
      <x:c r="F17" t="str">
        <x:v>8</x:v>
      </x:c>
      <x:c r="G17" t="n">
        <x:v>4</x:v>
      </x:c>
      <x:c r="H17" s="20" t="str">
        <x:v>Get 4 coins from the bank for each gear-symbol establishment you own. (your turn only)</x:v>
      </x:c>
      <x:c r="I17" t="str">
        <x:v>bank_income_by_symbol</x:v>
      </x:c>
      <x:c r="J17" t="str">
        <x:v>assets/establishments/furniture_factory.jpg</x:v>
      </x:c>
      <x:c r="K17" s="18"/>
      <x:c r="L17" s="20" t="str">
        <x:v>Requires quantity</x:v>
      </x:c>
    </x:row>
    <x:row r="18" ht="38" customHeight="1">
      <x:c r="A18" t="str">
        <x:v>hamburger_stand</x:v>
      </x:c>
      <x:c r="B18" t="str">
        <x:v>Hamburger Stand</x:v>
      </x:c>
      <x:c r="C18" t="str">
        <x:v>7-12</x:v>
      </x:c>
      <x:c r="D18" t="str">
        <x:v>red</x:v>
      </x:c>
      <x:c r="E18" t="str">
        <x:v>cup</x:v>
      </x:c>
      <x:c r="F18" t="str">
        <x:v>8</x:v>
      </x:c>
      <x:c r="G18" t="n">
        <x:v>1</x:v>
      </x:c>
      <x:c r="H18" s="20" t="str">
        <x:v>Take 2 coins from the active player. (opponent’s turn)</x:v>
      </x:c>
      <x:c r="I18" t="str">
        <x:v>take_from_active</x:v>
      </x:c>
      <x:c r="J18" t="str">
        <x:v>assets/establishments/hamburger_stand.jpg</x:v>
      </x:c>
      <x:c r="K18" s="18"/>
      <x:c r="L18" s="20" t="str">
        <x:v>Requires quantity</x:v>
      </x:c>
    </x:row>
    <x:row r="19" ht="38" customHeight="1">
      <x:c r="A19" t="str">
        <x:v>shopping_district</x:v>
      </x:c>
      <x:c r="B19" t="str">
        <x:v>Shopping District</x:v>
      </x:c>
      <x:c r="C19" t="str">
        <x:v>7-12</x:v>
      </x:c>
      <x:c r="D19" t="str">
        <x:v>purple</x:v>
      </x:c>
      <x:c r="E19" t="str">
        <x:v>major</x:v>
      </x:c>
      <x:c r="F19" t="str">
        <x:v>8, 9</x:v>
      </x:c>
      <x:c r="G19" t="n">
        <x:v>3</x:v>
      </x:c>
      <x:c r="H19" s="20" t="str">
        <x:v>From each opponent who has more than 10 coins, take half, rounded down. (your turn only)</x:v>
      </x:c>
      <x:c r="I19" t="str">
        <x:v>take_half_if_above</x:v>
      </x:c>
      <x:c r="J19" t="str">
        <x:v>assets/establishments/shopping_district.jpg</x:v>
      </x:c>
      <x:c r="K19" s="18"/>
      <x:c r="L19" s="20" t="str">
        <x:v>Requires quantity</x:v>
      </x:c>
    </x:row>
    <x:row r="20" ht="38" customHeight="1">
      <x:c r="A20" t="str">
        <x:v>winery</x:v>
      </x:c>
      <x:c r="B20" t="str">
        <x:v>Winery</x:v>
      </x:c>
      <x:c r="C20" t="str">
        <x:v>7-12</x:v>
      </x:c>
      <x:c r="D20" t="str">
        <x:v>green</x:v>
      </x:c>
      <x:c r="E20" t="str">
        <x:v>fruit</x:v>
      </x:c>
      <x:c r="F20" t="str">
        <x:v>9</x:v>
      </x:c>
      <x:c r="G20" t="n">
        <x:v>3</x:v>
      </x:c>
      <x:c r="H20" s="20" t="str">
        <x:v>Get 3 coins from the bank for each fruit-symbol establishment you own. (your turn only)</x:v>
      </x:c>
      <x:c r="I20" t="str">
        <x:v>bank_income_by_symbol</x:v>
      </x:c>
      <x:c r="J20" t="str">
        <x:v>assets/establishments/winery.jpg</x:v>
      </x:c>
      <x:c r="K20" s="18"/>
      <x:c r="L20" s="20" t="str">
        <x:v>Requires quantity</x:v>
      </x:c>
    </x:row>
    <x:row r="21" ht="38" customHeight="1">
      <x:c r="A21" t="str">
        <x:v>family_restaurant</x:v>
      </x:c>
      <x:c r="B21" t="str">
        <x:v>Family Restaurant</x:v>
      </x:c>
      <x:c r="C21" t="str">
        <x:v>7-12</x:v>
      </x:c>
      <x:c r="D21" t="str">
        <x:v>red</x:v>
      </x:c>
      <x:c r="E21" t="str">
        <x:v>cup</x:v>
      </x:c>
      <x:c r="F21" t="str">
        <x:v>9, 10</x:v>
      </x:c>
      <x:c r="G21" t="n">
        <x:v>2</x:v>
      </x:c>
      <x:c r="H21" s="20" t="str">
        <x:v>Take 2 coins from the active player. (opponent’s turn)</x:v>
      </x:c>
      <x:c r="I21" t="str">
        <x:v>take_from_active</x:v>
      </x:c>
      <x:c r="J21" t="str">
        <x:v>assets/establishments/family_restaurant.jpg</x:v>
      </x:c>
      <x:c r="K21" s="18"/>
      <x:c r="L21" s="20" t="str">
        <x:v>Requires quantity</x:v>
      </x:c>
    </x:row>
    <x:row r="22" ht="38" customHeight="1">
      <x:c r="A22" t="str">
        <x:v>apple_orchard</x:v>
      </x:c>
      <x:c r="B22" t="str">
        <x:v>Apple Orchard</x:v>
      </x:c>
      <x:c r="C22" t="str">
        <x:v>7-12</x:v>
      </x:c>
      <x:c r="D22" t="str">
        <x:v>blue</x:v>
      </x:c>
      <x:c r="E22" t="str">
        <x:v>fruit</x:v>
      </x:c>
      <x:c r="F22" t="str">
        <x:v>10</x:v>
      </x:c>
      <x:c r="G22" t="n">
        <x:v>1</x:v>
      </x:c>
      <x:c r="H22" s="20" t="str">
        <x:v>Get 3 coins from the bank. (anyone’s turn)</x:v>
      </x:c>
      <x:c r="I22" t="str">
        <x:v>bank_income</x:v>
      </x:c>
      <x:c r="J22" t="str">
        <x:v>assets/establishments/apple_orchard.jpg</x:v>
      </x:c>
      <x:c r="K22" s="18"/>
      <x:c r="L22" s="20" t="str">
        <x:v>Requires quantity</x:v>
      </x:c>
    </x:row>
    <x:row r="23" ht="38" customHeight="1">
      <x:c r="A23" t="str">
        <x:v>food_warehouse</x:v>
      </x:c>
      <x:c r="B23" t="str">
        <x:v>Food Warehouse</x:v>
      </x:c>
      <x:c r="C23" t="str">
        <x:v>7-12</x:v>
      </x:c>
      <x:c r="D23" t="str">
        <x:v>green</x:v>
      </x:c>
      <x:c r="E23" t="str">
        <x:v>cup</x:v>
      </x:c>
      <x:c r="F23" t="str">
        <x:v>10, 11</x:v>
      </x:c>
      <x:c r="G23" t="n">
        <x:v>2</x:v>
      </x:c>
      <x:c r="H23" s="20" t="str">
        <x:v>Get 2 coins from the bank for each cup-symbol establishment you own. (your turn only)</x:v>
      </x:c>
      <x:c r="I23" t="str">
        <x:v>bank_income_by_symbol</x:v>
      </x:c>
      <x:c r="J23" t="str">
        <x:v>assets/establishments/food_warehouse.jpg</x:v>
      </x:c>
      <x:c r="K23" s="18"/>
      <x:c r="L23" s="20" t="str">
        <x:v>Requires quantity</x:v>
      </x:c>
    </x:row>
    <x:row r="24" ht="38" customHeight="1">
      <x:c r="A24" t="str">
        <x:v>mine</x:v>
      </x:c>
      <x:c r="B24" t="str">
        <x:v>Mine</x:v>
      </x:c>
      <x:c r="C24" t="str">
        <x:v>7-12</x:v>
      </x:c>
      <x:c r="D24" t="str">
        <x:v>blue</x:v>
      </x:c>
      <x:c r="E24" t="str">
        <x:v>gear</x:v>
      </x:c>
      <x:c r="F24" t="str">
        <x:v>11, 12</x:v>
      </x:c>
      <x:c r="G24" t="n">
        <x:v>4</x:v>
      </x:c>
      <x:c r="H24" s="20" t="str">
        <x:v>Get 6 coins from the bank. (anyone’s turn)</x:v>
      </x:c>
      <x:c r="I24" t="str">
        <x:v>bank_income</x:v>
      </x:c>
      <x:c r="J24" t="str">
        <x:v>assets/establishments/mine.jpg</x:v>
      </x:c>
      <x:c r="K24" s="18"/>
      <x:c r="L24" s="20" t="str">
        <x:v>Requires quantity</x:v>
      </x:c>
    </x:row>
  </x:sheetData>
  <x:mergeCells>
    <x:mergeCell ref="A1:L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26" hidden="0" customWidth="1"/>
    <x:col min="3" max="3" width="23" hidden="0" customWidth="1"/>
    <x:col min="4" max="4" width="16" hidden="0" customWidth="1"/>
    <x:col min="5" max="5" width="14" hidden="0" customWidth="1"/>
    <x:col min="6" max="6" width="62" hidden="0" customWidth="1"/>
    <x:col min="7" max="7" width="36" hidden="0" customWidth="1"/>
    <x:col min="8" max="8" width="45" hidden="0" customWidth="1"/>
    <x:col min="9" max="9" width="17" hidden="0" customWidth="1"/>
    <x:col min="10" max="10" width="20" hidden="0" customWidth="1"/>
    <x:col min="11" max="11" width="21" hidden="0" customWidth="1"/>
  </x:cols>
  <x:sheetData>
    <x:row r="1" ht="38" customHeight="1">
      <x:c r="A1" s="3" t="str">
        <x:v>LANDMARKS • 23 PICTURED TYPES VS RULEBOOK 20 CARDS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3" ht="30" customHeight="1">
      <x:c r="A3" s="8" t="str">
        <x:v>Card ID</x:v>
      </x:c>
      <x:c r="B3" s="8" t="str">
        <x:v>Card name</x:v>
      </x:c>
      <x:c r="C3" s="8" t="str">
        <x:v>Costs by build order</x:v>
      </x:c>
      <x:c r="D3" s="8" t="str">
        <x:v>Timing</x:v>
      </x:c>
      <x:c r="E3" s="8" t="str">
        <x:v>Scope</x:v>
      </x:c>
      <x:c r="F3" s="8" t="str">
        <x:v>Ability text / meaning</x:v>
      </x:c>
      <x:c r="G3" s="8" t="str">
        <x:v>Effect op (draft)</x:v>
      </x:c>
      <x:c r="H3" s="8" t="str">
        <x:v>Image filename</x:v>
      </x:c>
      <x:c r="I3" s="8" t="str">
        <x:v>Copies (EDIT)</x:v>
      </x:c>
      <x:c r="J3" s="8" t="str">
        <x:v>Include? (EDIT)</x:v>
      </x:c>
      <x:c r="K3" s="8" t="str">
        <x:v>Review status</x:v>
      </x:c>
    </x:row>
    <x:row r="5" ht="48" customHeight="1">
      <x:c r="A5" t="str">
        <x:v>airport</x:v>
      </x:c>
      <x:c r="B5" t="str">
        <x:v>Airport</x:v>
      </x:c>
      <x:c r="C5" t="str">
        <x:v>12, 16, 22</x:v>
      </x:c>
      <x:c r="D5" t="str">
        <x:v>ongoing</x:v>
      </x:c>
      <x:c r="E5" t="str">
        <x:v>all</x:v>
      </x:c>
      <x:c r="F5" s="20" t="str">
        <x:v>If you don’t build anything on your turn, get 5 coins from the bank. (all players)</x:v>
      </x:c>
      <x:c r="G5" t="str">
        <x:v>bank_income</x:v>
      </x:c>
      <x:c r="H5" t="str">
        <x:v>assets/landmarks/airport.jpg</x:v>
      </x:c>
      <x:c r="I5" s="18"/>
      <x:c r="J5" s="18" t="str">
        <x:v>Unconfirmed</x:v>
      </x:c>
      <x:c r="K5" t="str">
        <x:v>Pool unresolved</x:v>
      </x:c>
    </x:row>
    <x:row r="6" ht="48" customHeight="1">
      <x:c r="A6" t="str">
        <x:v>amusement_park</x:v>
      </x:c>
      <x:c r="B6" t="str">
        <x:v>Amusement Park</x:v>
      </x:c>
      <x:c r="C6" t="str">
        <x:v>12, 16, 22</x:v>
      </x:c>
      <x:c r="D6" t="str">
        <x:v>ongoing</x:v>
      </x:c>
      <x:c r="E6" t="str">
        <x:v>all</x:v>
      </x:c>
      <x:c r="F6" s="20" t="str">
        <x:v>If you roll doubles, take another turn after this one. (all players)</x:v>
      </x:c>
      <x:c r="G6" t="str">
        <x:v>grant_extra_turn</x:v>
      </x:c>
      <x:c r="H6" t="str">
        <x:v>assets/landmarks/amusement_park.jpg</x:v>
      </x:c>
      <x:c r="I6" s="18"/>
      <x:c r="J6" s="18" t="str">
        <x:v>Unconfirmed</x:v>
      </x:c>
      <x:c r="K6" t="str">
        <x:v>Pool unresolved</x:v>
      </x:c>
    </x:row>
    <x:row r="7" ht="48" customHeight="1">
      <x:c r="A7" t="str">
        <x:v>charterhouse</x:v>
      </x:c>
      <x:c r="B7" t="str">
        <x:v>Charterhouse</x:v>
      </x:c>
      <x:c r="C7" t="str">
        <x:v>12, 16, 22</x:v>
      </x:c>
      <x:c r="D7" t="str">
        <x:v>ongoing</x:v>
      </x:c>
      <x:c r="E7" t="str">
        <x:v>all</x:v>
      </x:c>
      <x:c r="F7" s="20" t="str">
        <x:v>If you roll 2 dice and receive no coins, get 3 coins from the bank. (all players)</x:v>
      </x:c>
      <x:c r="G7" t="str">
        <x:v>bank_income</x:v>
      </x:c>
      <x:c r="H7" t="str">
        <x:v>assets/landmarks/charterhouse.jpg</x:v>
      </x:c>
      <x:c r="I7" s="18"/>
      <x:c r="J7" s="18" t="str">
        <x:v>Unconfirmed</x:v>
      </x:c>
      <x:c r="K7" t="str">
        <x:v>Pool unresolved</x:v>
      </x:c>
    </x:row>
    <x:row r="8" ht="48" customHeight="1">
      <x:c r="A8" t="str">
        <x:v>exhibit_hall</x:v>
      </x:c>
      <x:c r="B8" t="str">
        <x:v>Exhibit Hall</x:v>
      </x:c>
      <x:c r="C8" t="str">
        <x:v>12, 16, 22</x:v>
      </x:c>
      <x:c r="D8" t="str">
        <x:v>immediate</x:v>
      </x:c>
      <x:c r="E8" t="str">
        <x:v>builder</x:v>
      </x:c>
      <x:c r="F8" s="20" t="str">
        <x:v>From each opponent who has more than 10 coins, take half, rounded down. (builder only)</x:v>
      </x:c>
      <x:c r="G8" t="str">
        <x:v>take_half_if_above</x:v>
      </x:c>
      <x:c r="H8" t="str">
        <x:v>assets/landmarks/exhibit_hall.jpg</x:v>
      </x:c>
      <x:c r="I8" s="18"/>
      <x:c r="J8" s="18" t="str">
        <x:v>Unconfirmed</x:v>
      </x:c>
      <x:c r="K8" t="str">
        <x:v>Pool unresolved</x:v>
      </x:c>
    </x:row>
    <x:row r="9" ht="48" customHeight="1">
      <x:c r="A9" t="str">
        <x:v>farmers_market</x:v>
      </x:c>
      <x:c r="B9" t="str">
        <x:v>Farmers Market</x:v>
      </x:c>
      <x:c r="C9" t="str">
        <x:v>10, 14, 22</x:v>
      </x:c>
      <x:c r="D9" t="str">
        <x:v>ongoing</x:v>
      </x:c>
      <x:c r="E9" t="str">
        <x:v>all</x:v>
      </x:c>
      <x:c r="F9" s="20" t="str">
        <x:v>Your wheat-symbol establishments earn +1 coin income when activated. (all players)</x:v>
      </x:c>
      <x:c r="G9" t="str">
        <x:v>increase_income</x:v>
      </x:c>
      <x:c r="H9" t="str">
        <x:v>assets/landmarks/farmers_market.jpg</x:v>
      </x:c>
      <x:c r="I9" s="18"/>
      <x:c r="J9" s="18" t="str">
        <x:v>Unconfirmed</x:v>
      </x:c>
      <x:c r="K9" t="str">
        <x:v>Pool unresolved</x:v>
      </x:c>
    </x:row>
    <x:row r="10" ht="48" customHeight="1">
      <x:c r="A10" t="str">
        <x:v>forge</x:v>
      </x:c>
      <x:c r="B10" t="str">
        <x:v>Forge</x:v>
      </x:c>
      <x:c r="C10" t="str">
        <x:v>12, 16, 22</x:v>
      </x:c>
      <x:c r="D10" t="str">
        <x:v>ongoing</x:v>
      </x:c>
      <x:c r="E10" t="str">
        <x:v>all</x:v>
      </x:c>
      <x:c r="F10" s="20" t="str">
        <x:v>Your gear-symbol establishments earn +1 coin income when activated. (all players)</x:v>
      </x:c>
      <x:c r="G10" t="str">
        <x:v>increase_income</x:v>
      </x:c>
      <x:c r="H10" t="str">
        <x:v>assets/landmarks/forge.jpg</x:v>
      </x:c>
      <x:c r="I10" s="18"/>
      <x:c r="J10" s="18" t="str">
        <x:v>Unconfirmed</x:v>
      </x:c>
      <x:c r="K10" t="str">
        <x:v>Pool unresolved</x:v>
      </x:c>
    </x:row>
    <x:row r="11" ht="48" customHeight="1">
      <x:c r="A11" t="str">
        <x:v>french_restaurant</x:v>
      </x:c>
      <x:c r="B11" t="str">
        <x:v>French Restaurant</x:v>
      </x:c>
      <x:c r="C11" t="str">
        <x:v>10, 14, 22</x:v>
      </x:c>
      <x:c r="D11" t="str">
        <x:v>immediate</x:v>
      </x:c>
      <x:c r="E11" t="str">
        <x:v>builder</x:v>
      </x:c>
      <x:c r="F11" s="20" t="str">
        <x:v>Take 2 coins from each opponent. (builder only)</x:v>
      </x:c>
      <x:c r="G11" t="str">
        <x:v>take_each_opponent</x:v>
      </x:c>
      <x:c r="H11" t="str">
        <x:v>assets/landmarks/french_restaurant.jpg</x:v>
      </x:c>
      <x:c r="I11" s="18"/>
      <x:c r="J11" s="18" t="str">
        <x:v>Unconfirmed</x:v>
      </x:c>
      <x:c r="K11" t="str">
        <x:v>Pool unresolved</x:v>
      </x:c>
    </x:row>
    <x:row r="12" ht="48" customHeight="1">
      <x:c r="A12" t="str">
        <x:v>launch_pad</x:v>
      </x:c>
      <x:c r="B12" t="str">
        <x:v>Launch Pad</x:v>
      </x:c>
      <x:c r="C12" t="str">
        <x:v>45, 38, 25</x:v>
      </x:c>
      <x:c r="D12" t="str">
        <x:v>immediate</x:v>
      </x:c>
      <x:c r="E12" t="str">
        <x:v>builder</x:v>
      </x:c>
      <x:c r="F12" s="20" t="str">
        <x:v>You win the game! (builder only)</x:v>
      </x:c>
      <x:c r="G12" t="str">
        <x:v>win_immediately</x:v>
      </x:c>
      <x:c r="H12" t="str">
        <x:v>assets/landmarks/launch_pad.jpg</x:v>
      </x:c>
      <x:c r="I12" s="18"/>
      <x:c r="J12" s="18" t="str">
        <x:v>Unconfirmed</x:v>
      </x:c>
      <x:c r="K12" t="str">
        <x:v>Pool unresolved</x:v>
      </x:c>
    </x:row>
    <x:row r="13" ht="48" customHeight="1">
      <x:c r="A13" t="str">
        <x:v>loan_office</x:v>
      </x:c>
      <x:c r="B13" t="str">
        <x:v>Loan Office</x:v>
      </x:c>
      <x:c r="C13" t="str">
        <x:v>10</x:v>
      </x:c>
      <x:c r="D13" t="str">
        <x:v>ongoing</x:v>
      </x:c>
      <x:c r="E13" t="str">
        <x:v>builder</x:v>
      </x:c>
      <x:c r="F13" s="20" t="str">
        <x:v>You can only build this landmark when you are the only player with no landmarks. Reduce the build cost of all landmarks by 2 coins. (builder only)</x:v>
      </x:c>
      <x:c r="G13" t="str">
        <x:v>discount_landmarks</x:v>
      </x:c>
      <x:c r="H13" t="str">
        <x:v>assets/landmarks/loan_office.jpg</x:v>
      </x:c>
      <x:c r="I13" s="18"/>
      <x:c r="J13" s="18" t="str">
        <x:v>Unconfirmed</x:v>
      </x:c>
      <x:c r="K13" t="str">
        <x:v>Pool unresolved</x:v>
      </x:c>
    </x:row>
    <x:row r="14" ht="48" customHeight="1">
      <x:c r="A14" t="str">
        <x:v>moving_company</x:v>
      </x:c>
      <x:c r="B14" t="str">
        <x:v>Moving Company</x:v>
      </x:c>
      <x:c r="C14" t="str">
        <x:v>10, 14, 22</x:v>
      </x:c>
      <x:c r="D14" t="str">
        <x:v>ongoing</x:v>
      </x:c>
      <x:c r="E14" t="str">
        <x:v>all</x:v>
      </x:c>
      <x:c r="F14" s="20" t="str">
        <x:v>If you roll doubles, give 1 of your establishments to the player on your right. (all players)</x:v>
      </x:c>
      <x:c r="G14" t="str">
        <x:v>transfer_establishment_to_right</x:v>
      </x:c>
      <x:c r="H14" t="str">
        <x:v>assets/landmarks/moving_company.jpg</x:v>
      </x:c>
      <x:c r="I14" s="18"/>
      <x:c r="J14" s="18" t="str">
        <x:v>Unconfirmed</x:v>
      </x:c>
      <x:c r="K14" t="str">
        <x:v>Pool unresolved</x:v>
      </x:c>
    </x:row>
    <x:row r="15" ht="48" customHeight="1">
      <x:c r="A15" t="str">
        <x:v>museum</x:v>
      </x:c>
      <x:c r="B15" t="str">
        <x:v>Museum</x:v>
      </x:c>
      <x:c r="C15" t="str">
        <x:v>12, 16, 22</x:v>
      </x:c>
      <x:c r="D15" t="str">
        <x:v>immediate</x:v>
      </x:c>
      <x:c r="E15" t="str">
        <x:v>builder</x:v>
      </x:c>
      <x:c r="F15" s="20" t="str">
        <x:v>Take 3 coins from each opponent for each landmark they own. (builder only)</x:v>
      </x:c>
      <x:c r="G15" t="str">
        <x:v>take_each_opponent_per_landmark</x:v>
      </x:c>
      <x:c r="H15" t="str">
        <x:v>assets/landmarks/museum.jpg</x:v>
      </x:c>
      <x:c r="I15" s="18"/>
      <x:c r="J15" s="18" t="str">
        <x:v>Unconfirmed</x:v>
      </x:c>
      <x:c r="K15" t="str">
        <x:v>Pool unresolved</x:v>
      </x:c>
    </x:row>
    <x:row r="16" ht="48" customHeight="1">
      <x:c r="A16" t="str">
        <x:v>observatory</x:v>
      </x:c>
      <x:c r="B16" t="str">
        <x:v>Observatory</x:v>
      </x:c>
      <x:c r="C16" t="str">
        <x:v>10, 14, 22</x:v>
      </x:c>
      <x:c r="D16" t="str">
        <x:v>ongoing</x:v>
      </x:c>
      <x:c r="E16" t="str">
        <x:v>all</x:v>
      </x:c>
      <x:c r="F16" s="20" t="str">
        <x:v>Reduce the build cost of the Launch Pad by 5 coins. (all players)</x:v>
      </x:c>
      <x:c r="G16" t="str">
        <x:v>discount_named_landmark</x:v>
      </x:c>
      <x:c r="H16" t="str">
        <x:v>assets/landmarks/observatory.jpg</x:v>
      </x:c>
      <x:c r="I16" s="18"/>
      <x:c r="J16" s="18" t="str">
        <x:v>Unconfirmed</x:v>
      </x:c>
      <x:c r="K16" t="str">
        <x:v>Pool unresolved</x:v>
      </x:c>
    </x:row>
    <x:row r="17" ht="48" customHeight="1">
      <x:c r="A17" t="str">
        <x:v>park</x:v>
      </x:c>
      <x:c r="B17" t="str">
        <x:v>Park</x:v>
      </x:c>
      <x:c r="C17" t="str">
        <x:v>12, 16, 22</x:v>
      </x:c>
      <x:c r="D17" t="str">
        <x:v>immediate</x:v>
      </x:c>
      <x:c r="E17" t="str">
        <x:v>builder</x:v>
      </x:c>
      <x:c r="F17" s="20" t="str">
        <x:v>Redistribute all players’ coins as evenly as possible, making up any difference with coins from the bank. (builder only)</x:v>
      </x:c>
      <x:c r="G17" t="str">
        <x:v>redistribute_coins_evenly</x:v>
      </x:c>
      <x:c r="H17" t="str">
        <x:v>assets/landmarks/park.jpg</x:v>
      </x:c>
      <x:c r="I17" s="18"/>
      <x:c r="J17" s="18" t="str">
        <x:v>Unconfirmed</x:v>
      </x:c>
      <x:c r="K17" t="str">
        <x:v>Pool unresolved</x:v>
      </x:c>
    </x:row>
    <x:row r="18" ht="48" customHeight="1">
      <x:c r="A18" t="str">
        <x:v>publisher</x:v>
      </x:c>
      <x:c r="B18" t="str">
        <x:v>Publisher</x:v>
      </x:c>
      <x:c r="C18" t="str">
        <x:v>10, 14, 22</x:v>
      </x:c>
      <x:c r="D18" t="str">
        <x:v>immediate</x:v>
      </x:c>
      <x:c r="E18" t="str">
        <x:v>builder</x:v>
      </x:c>
      <x:c r="F18" s="20" t="str">
        <x:v>Take 1 coin from each opponent for each shop-symbol establishment they own. (builder only)</x:v>
      </x:c>
      <x:c r="G18" t="str">
        <x:v>take_each_opponent_by_symbol</x:v>
      </x:c>
      <x:c r="H18" t="str">
        <x:v>assets/landmarks/publisher.jpg</x:v>
      </x:c>
      <x:c r="I18" s="18"/>
      <x:c r="J18" s="18" t="str">
        <x:v>Unconfirmed</x:v>
      </x:c>
      <x:c r="K18" t="str">
        <x:v>Pool unresolved</x:v>
      </x:c>
    </x:row>
    <x:row r="19" ht="48" customHeight="1">
      <x:c r="A19" t="str">
        <x:v>radio_tower</x:v>
      </x:c>
      <x:c r="B19" t="str">
        <x:v>Radio Tower</x:v>
      </x:c>
      <x:c r="C19" t="str">
        <x:v>12, 16, 22</x:v>
      </x:c>
      <x:c r="D19" t="str">
        <x:v>immediate</x:v>
      </x:c>
      <x:c r="E19" t="str">
        <x:v>builder</x:v>
      </x:c>
      <x:c r="F19" s="20" t="str">
        <x:v>Take another turn after this one. (builder only)</x:v>
      </x:c>
      <x:c r="G19" t="str">
        <x:v>grant_extra_turn</x:v>
      </x:c>
      <x:c r="H19" t="str">
        <x:v>assets/landmarks/radio_tower.jpg</x:v>
      </x:c>
      <x:c r="I19" s="18"/>
      <x:c r="J19" s="18" t="str">
        <x:v>Unconfirmed</x:v>
      </x:c>
      <x:c r="K19" t="str">
        <x:v>Pool unresolved</x:v>
      </x:c>
    </x:row>
    <x:row r="20" ht="48" customHeight="1">
      <x:c r="A20" t="str">
        <x:v>shopping_mall</x:v>
      </x:c>
      <x:c r="B20" t="str">
        <x:v>Shopping Mall</x:v>
      </x:c>
      <x:c r="C20" t="str">
        <x:v>10, 14, 22</x:v>
      </x:c>
      <x:c r="D20" t="str">
        <x:v>ongoing</x:v>
      </x:c>
      <x:c r="E20" t="str">
        <x:v>all</x:v>
      </x:c>
      <x:c r="F20" s="20" t="str">
        <x:v>Your shop-symbol establishments earn +1 coin income when activated. (all players)</x:v>
      </x:c>
      <x:c r="G20" t="str">
        <x:v>increase_income</x:v>
      </x:c>
      <x:c r="H20" t="str">
        <x:v>assets/landmarks/shopping_mall.jpg</x:v>
      </x:c>
      <x:c r="I20" s="18"/>
      <x:c r="J20" s="18" t="str">
        <x:v>Unconfirmed</x:v>
      </x:c>
      <x:c r="K20" t="str">
        <x:v>Pool unresolved</x:v>
      </x:c>
    </x:row>
    <x:row r="21" ht="48" customHeight="1">
      <x:c r="A21" t="str">
        <x:v>soda_bottling_plant</x:v>
      </x:c>
      <x:c r="B21" t="str">
        <x:v>Soda Bottling Plant</x:v>
      </x:c>
      <x:c r="C21" t="str">
        <x:v>12, 16, 22</x:v>
      </x:c>
      <x:c r="D21" t="str">
        <x:v>ongoing</x:v>
      </x:c>
      <x:c r="E21" t="str">
        <x:v>all</x:v>
      </x:c>
      <x:c r="F21" s="20" t="str">
        <x:v>Your cup-symbol establishments earn +1 coin income when activated. (all players)</x:v>
      </x:c>
      <x:c r="G21" t="str">
        <x:v>increase_income</x:v>
      </x:c>
      <x:c r="H21" t="str">
        <x:v>assets/landmarks/soda_bottling_plant.jpg</x:v>
      </x:c>
      <x:c r="I21" s="18"/>
      <x:c r="J21" s="18" t="str">
        <x:v>Unconfirmed</x:v>
      </x:c>
      <x:c r="K21" t="str">
        <x:v>Pool unresolved</x:v>
      </x:c>
    </x:row>
    <x:row r="22" ht="48" customHeight="1">
      <x:c r="A22" t="str">
        <x:v>tech_startup</x:v>
      </x:c>
      <x:c r="B22" t="str">
        <x:v>Tech Startup</x:v>
      </x:c>
      <x:c r="C22" t="str">
        <x:v>10, 14, 22</x:v>
      </x:c>
      <x:c r="D22" t="str">
        <x:v>ongoing</x:v>
      </x:c>
      <x:c r="E22" t="str">
        <x:v>all</x:v>
      </x:c>
      <x:c r="F22" s="20" t="str">
        <x:v>If you roll 12, get 8 coins from the bank. (all players)</x:v>
      </x:c>
      <x:c r="G22" t="str">
        <x:v>bank_income</x:v>
      </x:c>
      <x:c r="H22" t="str">
        <x:v>assets/landmarks/tech_startup.jpg</x:v>
      </x:c>
      <x:c r="I22" s="18"/>
      <x:c r="J22" s="18" t="str">
        <x:v>Unconfirmed</x:v>
      </x:c>
      <x:c r="K22" t="str">
        <x:v>Pool unresolved</x:v>
      </x:c>
    </x:row>
    <x:row r="23" ht="48" customHeight="1">
      <x:c r="A23" t="str">
        <x:v>temple</x:v>
      </x:c>
      <x:c r="B23" t="str">
        <x:v>Temple</x:v>
      </x:c>
      <x:c r="C23" t="str">
        <x:v>12, 16, 22</x:v>
      </x:c>
      <x:c r="D23" t="str">
        <x:v>ongoing</x:v>
      </x:c>
      <x:c r="E23" t="str">
        <x:v>all</x:v>
      </x:c>
      <x:c r="F23" s="20" t="str">
        <x:v>If you roll doubles, take 2 coins from each opponent. (all players)</x:v>
      </x:c>
      <x:c r="G23" t="str">
        <x:v>take_each_opponent</x:v>
      </x:c>
      <x:c r="H23" t="str">
        <x:v>assets/landmarks/temple.jpg</x:v>
      </x:c>
      <x:c r="I23" s="18"/>
      <x:c r="J23" s="18" t="str">
        <x:v>Unconfirmed</x:v>
      </x:c>
      <x:c r="K23" t="str">
        <x:v>Pool unresolved</x:v>
      </x:c>
    </x:row>
    <x:row r="24" ht="48" customHeight="1">
      <x:c r="A24" t="str">
        <x:v>tv_station</x:v>
      </x:c>
      <x:c r="B24" t="str">
        <x:v>TV Station</x:v>
      </x:c>
      <x:c r="C24" t="str">
        <x:v>12, 16, 22</x:v>
      </x:c>
      <x:c r="D24" t="str">
        <x:v>immediate</x:v>
      </x:c>
      <x:c r="E24" t="str">
        <x:v>builder</x:v>
      </x:c>
      <x:c r="F24" s="20" t="str">
        <x:v>Take 1 coin from each opponent for each cup-symbol establishment they own. (builder only)</x:v>
      </x:c>
      <x:c r="G24" t="str">
        <x:v>take_each_opponent_by_symbol</x:v>
      </x:c>
      <x:c r="H24" t="str">
        <x:v>assets/landmarks/tv_station.jpg</x:v>
      </x:c>
      <x:c r="I24" s="18"/>
      <x:c r="J24" s="18" t="str">
        <x:v>Unconfirmed</x:v>
      </x:c>
      <x:c r="K24" t="str">
        <x:v>Pool unresolved</x:v>
      </x:c>
    </x:row>
    <x:row r="25" ht="48" customHeight="1">
      <x:c r="A25" t="str">
        <x:v>private_club</x:v>
      </x:c>
      <x:c r="B25" t="str">
        <x:v>Private Club</x:v>
      </x:c>
      <x:c r="C25" t="str">
        <x:v>12, 16, 22</x:v>
      </x:c>
      <x:c r="D25" t="str">
        <x:v>immediate</x:v>
      </x:c>
      <x:c r="E25" t="str">
        <x:v>builder</x:v>
      </x:c>
      <x:c r="F25" s="20" t="str">
        <x:v>Take 5 coins from each opponent who has 2 landmarks. (builder only)</x:v>
      </x:c>
      <x:c r="G25" t="str">
        <x:v>take_each_opponent_if_landmarks</x:v>
      </x:c>
      <x:c r="H25" t="str">
        <x:v>assets/landmarks/private_club.jpg</x:v>
      </x:c>
      <x:c r="I25" s="18"/>
      <x:c r="J25" s="18" t="str">
        <x:v>Unconfirmed</x:v>
      </x:c>
      <x:c r="K25" t="str">
        <x:v>Pool unresolved</x:v>
      </x:c>
    </x:row>
    <x:row r="26" ht="48" customHeight="1">
      <x:c r="A26" t="str">
        <x:v>city_hall</x:v>
      </x:c>
      <x:c r="B26" t="str">
        <x:v>City Hall</x:v>
      </x:c>
      <x:c r="C26" t="str">
        <x:v>10, 14, 22</x:v>
      </x:c>
      <x:c r="D26" t="str">
        <x:v>ongoing</x:v>
      </x:c>
      <x:c r="E26" t="str">
        <x:v>all</x:v>
      </x:c>
      <x:c r="F26" s="20" t="str">
        <x:v>If you roll 1 die and receive no coins, get 2 coins from the bank. (all players)</x:v>
      </x:c>
      <x:c r="G26" t="str">
        <x:v>bank_income</x:v>
      </x:c>
      <x:c r="H26" t="str">
        <x:v>assets/landmarks/city_hall.jpg</x:v>
      </x:c>
      <x:c r="I26" s="18"/>
      <x:c r="J26" s="18" t="str">
        <x:v>Unconfirmed</x:v>
      </x:c>
      <x:c r="K26" t="str">
        <x:v>Pool unresolved</x:v>
      </x:c>
    </x:row>
    <x:row r="27" ht="48" customHeight="1">
      <x:c r="A27" t="str">
        <x:v>renovation_company</x:v>
      </x:c>
      <x:c r="B27" t="str">
        <x:v>Renovation Company</x:v>
      </x:c>
      <x:c r="C27" t="str">
        <x:v>10, 14, 22</x:v>
      </x:c>
      <x:c r="D27" t="str">
        <x:v>ongoing</x:v>
      </x:c>
      <x:c r="E27" t="str">
        <x:v>all</x:v>
      </x:c>
      <x:c r="F27" s="20" t="str">
        <x:v>If you roll a 6, get 1 coin from the bank for each cup-symbol establishment you own. (all players)</x:v>
      </x:c>
      <x:c r="G27" t="str">
        <x:v>bank_income_by_symbol</x:v>
      </x:c>
      <x:c r="H27" t="str">
        <x:v>assets/landmarks/renovation_company.jpg</x:v>
      </x:c>
      <x:c r="I27" s="18"/>
      <x:c r="J27" s="18" t="str">
        <x:v>Unconfirmed</x:v>
      </x:c>
      <x:c r="K27" t="str">
        <x:v>Pool unresolved</x:v>
      </x:c>
    </x:row>
  </x:sheetData>
  <x:mergeCells>
    <x:mergeCell ref="A1:K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4" hidden="0" customWidth="1"/>
    <x:col min="2" max="2" width="17" hidden="0" customWidth="1"/>
    <x:col min="3" max="3" width="66" hidden="0" customWidth="1"/>
    <x:col min="4" max="4" width="68" hidden="0" customWidth="1"/>
  </x:cols>
  <x:sheetData>
    <x:row r="1" ht="38" customHeight="1">
      <x:c r="A1" s="3" t="str">
        <x:v>SOURCE VERIFICATION / BLOCKERS</x:v>
      </x:c>
      <x:c r="B1" s="3"/>
      <x:c r="C1" s="3"/>
      <x:c r="D1" s="3"/>
    </x:row>
    <x:row r="3" ht="30" customHeight="1">
      <x:c r="A3" s="8" t="str">
        <x:v>Issue</x:v>
      </x:c>
      <x:c r="B3" s="8" t="str">
        <x:v>Level</x:v>
      </x:c>
      <x:c r="C3" s="8" t="str">
        <x:v>Finding</x:v>
      </x:c>
      <x:c r="D3" s="8" t="str">
        <x:v>Action</x:v>
      </x:c>
    </x:row>
    <x:row r="4" ht="44" customHeight="1">
      <x:c r="A4" t="str">
        <x:v>B-001</x:v>
      </x:c>
      <x:c r="B4" t="str">
        <x:v>BLOCKER</x:v>
      </x:c>
      <x:c r="C4" s="20" t="str">
        <x:v>23 pictured landmarks vs 20 in rulebook</x:v>
      </x:c>
      <x:c r="D4" s="20" t="str">
        <x:v>Confirm selected landmark cards and quantities</x:v>
      </x:c>
    </x:row>
    <x:row r="5" ht="44" customHeight="1">
      <x:c r="A5" t="str">
        <x:v>B-002</x:v>
      </x:c>
      <x:c r="B5" t="str">
        <x:v>BLOCKER</x:v>
      </x:c>
      <x:c r="C5" s="20" t="str">
        <x:v>Total 86 Establishments but copy counts per type absent</x:v>
      </x:c>
      <x:c r="D5" s="20" t="str">
        <x:v>Fill all 20 yellow cells in Establishments</x:v>
      </x:c>
    </x:row>
    <x:row r="6" ht="44" customHeight="1">
      <x:c r="A6" t="str">
        <x:v>B-003</x:v>
      </x:c>
      <x:c r="B6" t="str">
        <x:v>REVIEW</x:v>
      </x:c>
      <x:c r="C6" s="20" t="str">
        <x:v>Loan Office only shows single 10 cost with unique building condition</x:v>
      </x:c>
      <x:c r="D6" s="20" t="str">
        <x:v>Confirm how this fits landmark count and tier</x:v>
      </x:c>
    </x:row>
    <x:row r="7" ht="44" customHeight="1">
      <x:c r="A7" t="str">
        <x:v>B-004</x:v>
      </x:c>
      <x:c r="B7" t="str">
        <x:v>REVIEW</x:v>
      </x:c>
      <x:c r="C7" s="20" t="str">
        <x:v>Park redistribution implementation not fully specified</x:v>
      </x:c>
      <x:c r="D7" s="20" t="str">
        <x:v>Agree implementation and test scenarios</x:v>
      </x:c>
    </x:row>
    <x:row r="8" ht="44" customHeight="1">
      <x:c r="A8" t="str">
        <x:v>B-005</x:v>
      </x:c>
      <x:c r="B8" t="str">
        <x:v>REVIEW</x:v>
      </x:c>
      <x:c r="C8" s="20" t="str">
        <x:v>Interactions across ongoing landmarks during income phases</x:v>
      </x:c>
      <x:c r="D8" s="20" t="str">
        <x:v>Validate rule interpretation via playtests</x:v>
      </x:c>
    </x:row>
  </x:sheetData>
  <x:mergeCells>
    <x:mergeCell ref="A1:D1"/>
  </x:mergeCells>
  <x:pageMargins left="0.7" right="0.7" top="0.75" bottom="0.75" header="0.3" footer="0.3"/>
</x:worksheet>
</file>